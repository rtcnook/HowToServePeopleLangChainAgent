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331" windowHeight="9024"/>
  </bookViews>
  <sheets>
    <sheet name="Sheet1" sheetId="1" r:id="rId1"/>
  </sheets>
  <definedNames>
    <definedName name="_xlnm._FilterDatabase" localSheetId="0" hidden="1">Sheet1!$A$3:$H$34</definedName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<sst xmlns="http://schemas.openxmlformats.org/spreadsheetml/2006/main" count="137" uniqueCount="93">
  <si>
    <t>附件1：</t>
  </si>
  <si>
    <t>中国大唐集团数字科技有限公司招聘岗位信息表</t>
  </si>
  <si>
    <t>序号</t>
  </si>
  <si>
    <t>招聘单位</t>
  </si>
  <si>
    <t>岗位名称</t>
  </si>
  <si>
    <t>主要职责</t>
  </si>
  <si>
    <t>岗位任职条件</t>
  </si>
  <si>
    <t>招聘数量</t>
  </si>
  <si>
    <t>工作
地点</t>
  </si>
  <si>
    <t>备注</t>
  </si>
  <si>
    <t>技术研究中心（人工智能研究院）</t>
  </si>
  <si>
    <t>算法研发部
经理</t>
  </si>
  <si>
    <t>1.全面负责算法研发部门的团队建设与日常管理，统筹制定部门技术发展战略、研发路线与业务规划，推动团队在技术创新与业务落地方面的整体能力提升；
2.基于公司业务战略与市场需求，主导算法模型研发方向与架构设计，持续优化技术体系，为业务目标实现提供高效、可靠的算法支持；
3.主导重大AI算法科研项目的立项、研发与成果转化，统筹资源协调与项目全过程管理，确保关键技术的突破与项目成果的质量和时效；
4.负责跨部门、跨组织的技术协同与业务对接，推动算法能力与产品、业务深度融合，提升算法成果的落地效率和业务价值贡献；
5.建立并持续完善算法研发流程与质量管理体系，推动技术创新与知识产权布局，打造高水平、高影响力的算法研发团队；
6.负责部门人才梯队建设，组织开展技术培训与专业能力提升，培养核心算法人才，激发团队创新活力。</t>
  </si>
  <si>
    <t xml:space="preserve">1.全日制硕士研究生及以上学历；
2.原则上，男性年龄不超过45周岁，女性年龄不超过40周岁；
3.相关行业企业相近岗位工作年限满8年及以上，专业年限满5年及以上；
4.原则上应具有中级及以上专业技术资格、岗位所需的职业（执业）资格证书，或具备相应的专业能力；
5.在同类企业中担任中层正职，具有相应的部门管理经验。
</t>
  </si>
  <si>
    <t>雄安</t>
  </si>
  <si>
    <t>运营发展部
经理/副经理</t>
  </si>
  <si>
    <t>1.负责研究院日常运营管理，制定部门年度工作计划及资源调配方案，确保业务高效运转；
2.负责牵头研究院业务发展建设，规划人工智能领域长期发展路径，支撑集团战略目标实现；
3.负责响应对接集团公司总部，统筹落实人工智能建设相关专项工作安排，确保高质量交付；
4.负责集团人工智能平台的日常运营管理，协调技术团队提供稳定支撑；
5.负责组织编制人工智能技术规范及运营管理制度，推动标准化落地；
6.负责策划并实施集团内人工智能技术培训、技能竞赛及人才认证项目，提升全员AI素养；
7.负责开展集团系统各单位和相关政府部门人工智能业务交流。</t>
  </si>
  <si>
    <t xml:space="preserve">1.全日制本科及以上学历，硕士研究生及以上学历优先；
2.原则上，男性年龄不超过45周岁，女性年龄不超过40周岁；
3.相关行业企业相近岗位工作年限满8年及以上，专业年限满5年及以上；
4.原则上应具有中级及以上专业技术资格、岗位所需的职业（执业）资格证书，或具备相应的专业能力；
5.竞聘经理需在同类企业中担任中层正职，竞聘副经理需在同类企业中担任中层副职，具有相应的部门管理经验。
</t>
  </si>
  <si>
    <t>人工智能工程师</t>
  </si>
  <si>
    <t>1.参与能源电力等行业AI平台与系统的技术规划、架构设计及研发管理，构建高可用、可扩展的AI图像识别等核心技术体系，为企业数字化转型提供技术支撑；
2.主导或参与智能边缘计算场景的算法研发与工程化落地，完成算法选型、性能优化及端侧部署，推动软硬件协同与场景适配；
3.开展大模型等前沿AI技术的研究与应用适配，对接业务需求实施技术攻关，推动创新成果转化，布局专利与核心技术资产；
4.负责AI算法模型的全生命周期管理，包括研发、训练、调优、评估与迭代，建立模型运维与效果监测机制，保障算法在业务中的稳定性与效果持续提升；
5.协同产品、业务及工程团队，推动AI技术与业务场景的深度融合，提供技术方案设计与集成支持，构建具有行业竞争力的AI解决方案。</t>
  </si>
  <si>
    <t>1.全日制硕士研究生及以上学历，计算机、人工智能、数学、大数据等相关专业；
2.原则上，男性年龄不超过45周岁，女性年龄不超过40周岁；
3.相关行业企业相近岗位工作年限满5年及以上，专业年限满3年及以上；
4.原则上应具有中级及以上专业技术资格、岗位所需的职业（执业）资格证书，或具备相应的专业能力。</t>
  </si>
  <si>
    <t>AI架构师</t>
  </si>
  <si>
    <t>1.负责人工智能相关技术评审，包含可行性研究报告、概要设计等，保障项目技术路线符合集团公司人工智能建设要求；
2.负责跟踪人工智能前沿技术发展趋势，推动人工智能技术创新与应用；
3.负责AI产品的整体技术架构设计，包括技术选型、模块化设计、系统集成方案等，制定符合集团公司人工智能战略的长期技术路线图，确保架构的扩展性、安全性和高性能；
4.牵头重点科技项目技术攻关，关键技术验证，提供解决方案；
5.负责人工智能技术内部分享，提升团队整体技术能力。</t>
  </si>
  <si>
    <t>1.全日制硕士研究生及以上学历，计算机、人工智能、数学、大数据等相关专业；
2.原则上，男性年龄不超过45周岁，女性年龄不超过40周岁；
3.相关行业企业相近岗位工作年限满8年及以上，专业年限满5年及以上；
4.原则上应具有中级及以上专业技术资格、岗位所需的职业（执业）资格证书，或具备相应的专业能力；
5.在同类企业中担任架构师或产品经理、项目经理岗位工作满3年以上。</t>
  </si>
  <si>
    <t>产品经理</t>
  </si>
  <si>
    <t>1.负责智能边缘计算终端产品的全生命周期管理，制定产品战略与发展路线图，主导从产品规划、设计、研发、测试及上线运营的全过程，确保产品高质量、按时完成；
2.负责产品市场推广、品牌建设与生态构建，制定合理的市场推广策略及售后支持体系，协同销售与渠道团队，提供品牌宣传、产品培训与技术支撑工作，提升产品市场占有率及影响力；
3.负责产品建设过程中科技成果总结、成果鉴定、知识产权申报等工作，助力提升企业的技术实力与行业地位；
4.协同技术团队开展国产操作系统适配工作，推动电鸿操作系统在产品体系中的集成与应用，确保产品的自主可控性，并加速电鸿生态拓展。</t>
  </si>
  <si>
    <t>1.全日制硕士研究生及以上学历；
2.原则上，男性年龄不超过45周岁，女性年龄不超过40周岁；
3.相关行业企业相近岗位工作年限满5年及以上，专业年限满3年及以上；
4.原则上应具有中级及以上专业技术资格、岗位所需的职业（执业）资格证书，或具备相应的专业能力。</t>
  </si>
  <si>
    <t>小计</t>
  </si>
  <si>
    <t>数字技术服务中心</t>
  </si>
  <si>
    <t>咨询工程师</t>
  </si>
  <si>
    <t>1.负责项目的专项调研、需求分析与方案设计；
2.能够承担规划报告中核心模块（如某个业务域分析、技术架构部分）的编制工作；
3.参与客户沟通与汇报，清晰阐述专业观点，有效收集并反馈客户意见；
4.负责技术文档编写和维护，并开始积累和分享专业知识与项目经验；
5.支持集团数智中心及数科公司相关工作。</t>
  </si>
  <si>
    <t>1.全日制本科及以上学历，计算机、软件工程、热能动力工程、电气自动化、新能源、信息系统管理等相关专业，硕士研究生及以上学历优先；
2.原则上，男性年龄不超过45周岁，女性年龄不超过40周岁；
3.相关行业企业相近岗位工作年限满5年及以上，至少精通一项能源行业数字化咨询规划相关业务（如电力安全生产、财务、人资、审计、供应链等），3年以上相关工作经验，能承担规划报告中该领域业务分析及核心模块的设计工作；
4.原则上应具有中级及以上专业技术资格、岗位所需的职业（执业）资格证书，或具备相应的专业能力；
5.具备较强的文字功底，能独立完成项目的专项调研、需求分析与方案设计；
6.能接受长期出差。</t>
  </si>
  <si>
    <t>项目经理（项目验收管理）</t>
  </si>
  <si>
    <t>1.负责项目的验收策划与组织实施，编制专项验收方案；
2.组织项目验收工作，根据验收计划跟进节点进度，推动验收节点按期关闭；
3.负责验收过程中重大技术问题的初步研判与协调解决；
4.管理验收流程与对外沟通，对接项目建设方、承建方、监理方及质量监督站等相关单位；
5.编写项目验收计划、验收大纲、验收报告等过程文档，完成项目验收资料收集、整理、编号、归档。</t>
  </si>
  <si>
    <t>1.全日制本科及以上学历，计算机、软件工程、信息系统管理、热能动力工程、新能源等相关专业，硕士研究生及以上学历优先；
2.原则上，男性年龄不超过45周岁，女性年龄不超过40周岁；
3.相关行业企业相近岗位工作年限满5年及以上，3年以上项目售前、项目实施管理相关工作经验，熟悉项目验收流程，具备验收策划与组织实施经验；
4.原则上应具有中级及以上专业技术资格、岗位所需的职业（执业）资格证书，或具备相应的专业能力；
5.具备较强的现场协调与问题解决能力，能对接项目建设方、承建方、监理方等多方主体；
6.具备良好的文档编写与沟通能力。</t>
  </si>
  <si>
    <t>架构师</t>
  </si>
  <si>
    <t>1.组织大型数字化项目前期、基础平台类项目可研报告及招标文件的评审；
2.组织大型数字化项目、基础平台类项目的技术监督、关键技术方案设计、技术评审、后评价工作；
3.协助制定集团公司及数科公司数字化的技术标准和规范；
4.负责数科公司技术监督工作；
5.领导安排的其他工作。</t>
  </si>
  <si>
    <t>1.全日制本科及以上学历，计算机、电气自动化、热能动力工程、新能源等相关专业，硕士研究生及以上学历优先；
2.原则上，男性年龄不超过45周岁，女性年龄不超过40周岁；
3.原则上应具有中级及以上专业技术资格、岗位所需的职业（执业）资格证书，或具备相应的专业能力；
4.相关行业企业相近岗位工作年限满5年及以上，3年以上技术管理相关经验，有技术中台、数据中台相关项目架构设计与实施经验；
5.熟悉项目方案设计过程，对公共平台技术架构设计有深刻理解和研究，熟悉主流技术路线和框架，具有数字化项目评审与后评价经验；
6.具备较强的沟通协调与组织管理能力，能够独立带领团队完成项目技术方案设计与架构治理工作；具备较强的文档编写与汇报能力；
7.能接受长期出差。</t>
  </si>
  <si>
    <t>数字资产运营中心
（大唐（乌兰察布）数据服务有限公司）</t>
  </si>
  <si>
    <t>系统运营部
经理/副经理</t>
  </si>
  <si>
    <t>1.贯彻落实中心各项决策部署，定期汇报部门工作进展、重大问题和风险隐患，并提出改进建议；
2.牵头制定部门中长期发展规划及年度工作计划，并组织实施与跟踪评估；
3.统筹安排部门人员工作，合理配置岗位与分工，督促部门任务有效执行与闭环管理；
4.负责部门资产管理、资产台账维护并定期盘点，规范采购流程，统筹供应商管理与服务评估，保障外包服务合规、高效运行；
5.落实软件系统运维安全、数据安全、保密管理和廉政建设主体责任，组织开展合规培训与风险排查，防范违规违纪及系统安全运维事故发生；
6.主动对接客户，及时收集反馈意见与需求，协调内部资源快速响应，提升客户满意度与服务交付质量。</t>
  </si>
  <si>
    <t>1.全日制本科及以上学历，硕士研究生及以上学历优先；
2.原则上，男性年龄不超过45周岁，女性年龄不超过40周岁；
3.熟悉软件工程和计算机行业，在该行业相关行业企业相近岗位工作年限满8年及以上，专业年限满5年及以上；
4.原则上应具有中级及以上专业技术资格、岗位所需的职业（执业）资格证书，或具备相应的专业能力；
5.竞聘经理需在同类企业中担任中层正职，竞聘副经理需在同类企业中担任中层副职，具有相应的部门管理经验。</t>
  </si>
  <si>
    <t>乌兰察布数据中心经理/副经理</t>
  </si>
  <si>
    <t>1.贯彻落实中心各项决策部署，定期汇报部门工作进展、重大问题和风险隐患，并提出改进建议；
2.牵头制定乌兰察布数据中心中长期发展规划及年度工作计划，并组织实施与跟踪评估；
3.统筹安排乌兰察布数据中心人员工作，合理配置岗位与分工，督促任务有效执行与闭环管理；
4.负责乌兰察布数据中心资产管理、资产台账维护并定期盘点，规范采购流程，统筹供应商管理与服务评估，保障外包服务合规、高效运行；
5.负责乌兰察布数据中心安全稳定运行，落实乌兰察数据中心运维安全、网络安全、数据安全、保密管理和廉政建设责任，组织开展合规培训与风险排查，防范违规违纪及系统安全运维事故发生；
6.负责乌兰察布数据中心整体运营工作。</t>
  </si>
  <si>
    <t>1.全日制本科及以上学历，硕士研究生及以上学历优先；
2.原则上，男性年龄不超过45周岁，女性年龄不超过40周岁；
3.熟悉软件工程和计算机行业，在该行业相关行业企业相近岗位工作年限满5年及以上，专业年限满3年及以上；
4.原则上应具有中级及以上专业技术资格、岗位所需的职业（执业）资格证书，或具备相应的专业能力；
5.竞聘经理需在同类企业中担任中层正职，竞聘副经理需在同类企业中担任中层副职，具有相应的部门管理经验。</t>
  </si>
  <si>
    <t>乌兰察布</t>
  </si>
  <si>
    <t>数据运营部
副经理</t>
  </si>
  <si>
    <t>1.贯彻落实中心各项决策部署，定期汇报部门工作进展、重大问题和风险隐患，并提出改进建议；
2.协助部门经理处理全面工作，执行部门战略计划，组织团队完成部门经营目标任务；
3.协助集团数据架构的设计和管理，组织数据湖以及数据子湖的建设和运营，涵盖数据标准、数据质量、数据安全等建立成熟的数据治理体系，做好部门技术成果转化，配合集团以及外部企业的售前技术支持与市场开拓工作。</t>
  </si>
  <si>
    <t>1.全日制本科及以上学历，硕士研究生及以上学历优先；
2.原则上，男性年龄不超过45周岁，女性年龄不超过40周岁；
3.熟悉软件工程和计算机行业，在该行业相关行业企业相近岗位工作年限满8年及以上，专业年限满5年及以上；
4.原则上应具有中级及以上专业技术资格、岗位所需的职业（执业）资格证书，或具备相应的专业能力；
5.需在同类企业中担任中层副职，具有相应的部门管理经验。</t>
  </si>
  <si>
    <t>数据架构师</t>
  </si>
  <si>
    <t>1.负责数据治理框架设计；
2.负责数据湖技术架构、数据架构的设计、审查等；
3.负责平台建设标准及规范制定并监督落地；
4.负责制定和评审项目实施方案、关键技术方案、技术标准等；
5.承担PMO职责，负责跨项目及关键事项管理。</t>
  </si>
  <si>
    <t>1.全日制本科及以上学历，硕士研究生及以上学历优先；
2.原则上，男性年龄不超过45周岁，女性年龄不超过40周岁；
3.相关行业企业相近岗位工作年限满5年及以上，专业年限满3年及以上；
4.原则上应具有中级及以上专业技术资格、岗位所需的职业（执业）资格证书，或具备相应的专业能力。</t>
  </si>
  <si>
    <t>运营项目经理</t>
  </si>
  <si>
    <t>1.负责项目的全周期统筹管理，制定并动态优化项目计划，对进度、人员、成本实施全过程跟踪与闭环管控，定期汇报项目进展，主导关键需求交付与风险应对；
2.协助制定集团公司系统运营体系与标准规范，参与系统规划与设计，牵头系统平台及子系统的建设、运营与治理工作；
3.配合开展同类项目的售前支持、技术交流与市场推广，为内外部客户提供解决方案支持，推动项目签约与实施落地；
4.负责产品线的系统运营工作，制定产品线运营的中长期发展规划和年度工作计划，并组织实施与跟踪评估；
5.分管4-7套应用系统的日常运营，组织实施系统监控、配置管理及用户培训；监控系统运营指标，分析数据使用情况，优化系统运营流程；
6.负责推进集团公司各部门，系统各单位提出的业务需求，协调开发团队完成版本发布与补丁部署持续推进产品的迭代升级；
7.负责建立产品线运营体系，规范运营流程，保障系统安全稳定运行，并评估系统运行状态；
8.组织项目总结、复盘与经验沉淀，优化项目管理流程与方法论，推动组织级项目管理能力的持续提升；
9.负责应急响应指挥及故障复盘，跟踪等保测评与漏洞修复进度；
10.定期输出系统运营分析报告，推动优化举措落地。</t>
  </si>
  <si>
    <t>1.全日制本科及以上学历，硕士研究生及以上学历优先；
2.原则上，男性年龄不超过45周岁，女性年龄不超过40周岁；
3.相关行业企业相近岗位工作年限满5年及以上，熟悉计算机相关行业专业，从事信息系统运营项目经理或相近岗位工作年限满3年及以上；
4.原则上应具有中级及以上专业技术资格、岗位所需的职业（执业）资格证书，或具备相应的专业能力。</t>
  </si>
  <si>
    <t>数字资产主管</t>
  </si>
  <si>
    <t>1.负责建立并动态维护集团公司数字资产台账；
2.定期开展资产健康度、使用率及业务价值综合评估，识别闲置与低效资产；
3.制定标准化资产退役流程，组织技术评审、数据迁移与系统下线，完成资产核销；
4.完成上级安排的其他工作。</t>
  </si>
  <si>
    <t>1.全日制本科及以上学历，硕士研究生及以上学历优先；
2.原则上，男性年龄不超过45周岁，女性年龄不超过40周岁；
3.相关行业企业相近岗位工作年限满5年及以上，熟悉计算机相关行业专业，要求从事数字资产管理的项目经理或相近岗位工作年限满3年及以上；
4.原则上应具有中级及以上专业技术资格、岗位所需的职业（执业）资格证书，或具备相应的专业能力。</t>
  </si>
  <si>
    <t>网信运维中心</t>
  </si>
  <si>
    <t>子部门经理/副经理</t>
  </si>
  <si>
    <t>1.落实中心各项决策部署与工作要求，定期向中心领导汇报部门工作进展、重大问题、风险隐患及改进方案，完成中心领导交办的各项任务；
2.牵头制定部门中长期发展规划、年度工作计划；
3.统筹安排部门人员工作，负责部门人员配置、岗位分工，督促运维工作的有效执行和落实；
4.统筹部门网信资产台账管理、定期开展资产盘点，规范采购管理，管控供应商服务质量，牵头服务商考核、履约评估、问题追责，保障外包服务合规高效；
5.落实运维安全、保密管理、廉政建设主体责任，开展合规培训与风险排查，杜绝违规违纪、安全保密和运维事故；
6.积极与客户沟通交流，第一时间获取客户意见、建议和需求，并协调运维团队及公司内部各方面资源及时响应。</t>
  </si>
  <si>
    <t>1.全日制本科及以上学历，硕士研究生及以上学历优先；
2.原则上，男性年龄不超过45周岁，女性年龄不超过40周岁；
3.相关行业企业相近岗位工作年限满8年及以上，专业年限满5年及以上；
4.原则上应具有中级及以上专业技术资格、岗位所需的职业（执业）资格证书，或具备相应的专业能力； 
5.竞聘经理需在同类企业中担任中层正职，竞聘副经理需在同类企业中担任中层副职，具有相应的部门管理经验。</t>
  </si>
  <si>
    <t>项目经理</t>
  </si>
  <si>
    <t>1.迅速响应集团公司及分子公司网信基础设施运维请求，全程跟进处理流程，确保每一个运维事件都能得到妥善解决并实现闭环管理，保障基础设施及应用系统的稳定运行；
2.合理拆解项目部运维任务，涵盖网络安全、网络、视频会议、桌面终端和机房等多方面，为各项任务制定清晰、可量化的运维目标，明确工作方向与标准；
3.定期对运维工作进行全面总结，深入分析运维数据与问题，撰写详细准确的报告与汇报材料，为决策提供有力依据；
4.合理统筹安排项目部人员工作，科学配置岗位与分工，督促项目部运维任务有效执行并实现闭环管理，确保各项工作高效推进；
5.主动对接客户，及时收集客户意见与需求，反馈并协调内部资源快速响应需求，提升客户满意度与服务交付质量。</t>
  </si>
  <si>
    <t>雄安（需派驻至北京）</t>
  </si>
  <si>
    <t>运维工程师</t>
  </si>
  <si>
    <t>1.高效完成所属专业方向（终端保障、网络保障、机房及算力保障、视频会议保障）日常运维工作；
2.按照运维规范，完成客户单位数据中心机房、网络设备、服务器、存储设备、安全设备、动环配套（UPS、空调）的日常巡检、状态核查与运行记录，及时上报异常隐患；
3.按照运维流程开展故障定位、排查、处置与恢复，保障核心业务连续性，缩短故障影响时长；
4.参与网信资产台账维护，完成设备入库、领用、调拨、盘点、报废等全流程信息更新，确保账实相符；
5.协助项目经理与分子公司相关主管部门人员汇报和沟通。</t>
  </si>
  <si>
    <t>网络安全监控中心</t>
  </si>
  <si>
    <t>网络安全现场指挥员</t>
  </si>
  <si>
    <r>
      <rPr>
        <sz val="11"/>
        <color theme="1"/>
        <rFont val="仿宋_GB2312"/>
        <charset val="134"/>
      </rPr>
      <t xml:space="preserve">1.网络安全专业监督（含等级保护、关基保护），督促集团公司二三级单位、系统外相关方落实网络安全法律法规、技术标准和集团公司制度要求；
2.负责自主可控应用替代（含国产芯片推进）监督工作，督促集团公司二三级单位落实替代任务，监督数字化产品采购满足自主可控相关要求；
</t>
    </r>
    <r>
      <rPr>
        <sz val="11"/>
        <rFont val="仿宋_GB2312"/>
        <charset val="134"/>
      </rPr>
      <t>3.负责职能范围的计划制定并监督落实，按时反馈工作进度，协调解决工作过程中遇到的问题；</t>
    </r>
    <r>
      <rPr>
        <sz val="11"/>
        <color theme="1"/>
        <rFont val="仿宋_GB2312"/>
        <charset val="134"/>
      </rPr>
      <t xml:space="preserve">
4.负责区域内分子公司日常管理、监督和指导，负责各职能任务下发、收集、反馈；
5.根据工作实际，在现有人员中设置等级保护、关基保护、自主可控替代、漏洞管理、网络安全培训与比赛、网络安全重保、业务系统监督等工作专责人员。</t>
    </r>
  </si>
  <si>
    <t>1.全日制本科及以上学历，硕士研究生及以上学历优先；
2.原则上，男性年龄不超过45周岁，女性年龄不超过40周岁；
3.相关行业相近岗位工作满5年、专业年限满3年，积累丰富行业经验与专业技能；
4.原则上应具有中级及以上专业技术资格、岗位所需的职业（执业）资格证书，或具备相应的专业能力；
5.在同类企业中担任网络安全管理岗位工作满2年以上。</t>
  </si>
  <si>
    <t>项目经理
（安全服务）</t>
  </si>
  <si>
    <t>1.统筹安全服务类项目运营，制定年度工作计划与目标，推进各项工作落地执行，保障部门高效运转；
2.牵头安全服务项目全流程管理，把控项目进度、质量、成本与风险，协调解决项目实施中的各类问题；
3.搭建并优化部门团队架构，负责人员招聘、培养、考核与激励，提升团队专业能力与服务水平；
4.对接客户核心需求，维护客户关系，协调内外部资源响应客户诉求，提升客户满意度与项目续约率；
5.把控安全服务合规性，确保服务流程、交付成果符合网络安全相关法规及行业标准要求；
6.统筹部门业务拓展与技术能力建设，跟进行业趋势与服务创新，推动服务产品升级优化；
7. 牵头处理重大突发事件、客户投诉及跨部门协同问题，保障业务平稳有序开展。</t>
  </si>
  <si>
    <t>先一公司</t>
  </si>
  <si>
    <t>智慧能源事业部
副经理</t>
  </si>
  <si>
    <t>1.协助事业部负责人制定并执行事业部业务发展战略，负责将公司的技术能力转化为具有市场竞争力的行业解决方案，推动事业部实现规模化增长；
2.协助事业部负责人开展全面经营管理，监控各产品线的营收、回款、毛利率及项目人效，定期组织经营分析会，及时纠偏；
3.参与制定事业部中长期发展规划（如智慧电厂、智慧新能源等方向），并将战略目标拆解为年度/季度可执行的业务计划和绩效考核指标；
4.监管重大项目的实施进度与质量，协调解决跨部门、跨团队的关键冲突和风险；推动交付流程的标准化与敏捷化，提升客户满意度；
5.负责分管团队的日常管理，包括人员招聘、绩效评估、激励与保留，营造高绩效的团队文化。</t>
  </si>
  <si>
    <t>1.全日制本科及以上学历，硕士研究生及以上学历优先；
2.原则上应具有中级及以上专业技术资格、岗位所需的职业（执业）资格证书，或具备相应的专业能力；
3.原则上，男性年龄不超过45周岁，女性年龄不超过40周岁；
4.相关行业相近岗位工作满8年，5年以上团队管理经验，具有千万级智慧能源类项目管理与交付经验者优先；
5.熟悉电力行业智慧电厂、智慧新能源等相关产品，深刻理解发电企业的业务场景、痛点和信息化建设现状；
6.熟悉电力系统生产流程，具有厂级生产信息系统（SIS）生产实时监控系统、节能发电调度系统、智慧新能源等系统研发、需求分析经验；从事过5年以上产品售前、研发以及需求分析工作；
7.有丰富的产品策划，售前支持，产品线运营管理等相关经验；
8.获得省部级（行业级）及以上荣誉者优先，无专业要求；
9.需在同类企业中担任中层副职，具有相应的部门管理经验。</t>
  </si>
  <si>
    <t>长沙</t>
  </si>
  <si>
    <t>数智软件事业部
业务分析组长</t>
  </si>
  <si>
    <t>1.负责需求团队管理，包括团队分工、进度管控、质量审核、成员培养与绩效考核；
2.主导大中型ERP项目需求调研、业务梳理、流程优化、方案设计，输出需求规格、业务蓝图、原型方案；
3.组织需求评审、需求变更管理、风险识别与控制，协调客户、实施、开发、测试等多方达成一致；
4.负责需求文档体系建设，规范需求标准、模板、流程，提升团队交付质量；
5.对接客户高层与业务部门，把控项目方向，解决复杂业务与技术冲突；
6.跟进需求落地、上线验证、问题闭环，保障项目按期高质量交付；
7.沉淀行业解决方案、需求方法论、最佳实践，赋能团队与项目复用。</t>
  </si>
  <si>
    <t>1.全日制本科及以上学历，硕士研究生及以上学历优先；
2.原则上，男性年龄不超过45周岁，女性年龄不超过40周岁；
3.相关行业企业相近岗位工作年限满5年及以上，具备3年以上ERP领域需求分析经验，1年以上团队管理经验，熟悉财务、供应链、燃料、人力资源等核心业务线；
4.原则上应具有中级及以上专业技术资格、岗位所需的职业（执业）资格证书，或具备相应的专业能力；
5.精通需求调研、流程梳理、方案设计、需求评审、风险管控，能独立主导大中型ERP项目需求分析工作；
6.熟练使用SQL、Visio、Axure等建工具，具备较强的业务建模、文档编写与方案输出能力；
7.具备团队管理能力，可带领需求团队完成任务分配、进度把控、质量审核与成员培养；
8.沟通协调能力强，能对接客户、实施、开发等多方面，推动需求落地与问题闭环；
9.有大型集团/发电行业ERP项目经验、信息系统项目管理师（高级）/ERP厂商认证者优先；
10.能接受长期出差。</t>
  </si>
  <si>
    <t>燃料业务事业部
业务架构师</t>
  </si>
  <si>
    <t>1.聚焦火电燃料全生命周期管理，负责燃料数字化解决方案的顶层设计、售前支持与项目落地，推动燃料采购、运输、存储、掺配等环节的智能化升级；
2.主导燃料数字化项目的方案设计、技术交流、方案宣讲、产品演示及投标应答，向客户清晰阐释解决方案的业务价值；
3.输出高质量的售前材料（行业解决方案白皮书、宣讲PPT、技术建议书、投标文件），并参与项目预算评估与成本测算；
4.跟踪燃料行业政策趋势及前沿技术，定期输出行业洞察报告；
5.作为技术专家协同销售及产研团队，支撑战略大客户攻坚。</t>
  </si>
  <si>
    <t>1.全日制本科及以上学历，硕士研究生及以上学历优先；
2.原则上，男性年龄不超过45周岁，女性年龄不超过40周岁；
3.相关行业企业相近岗位工作年限满5年及以上，专业年限满3年及以上；
4.原则上应具有中级及以上专业技术资格、岗位所需的职业（执业）资格证书，或具备相应的专业能力；
5.拥有火电、电网等电力行业业务知识与实践经验，能根据公司产品独立完成客户需求分析、技术方案设计及蓝图规划，输出专业解决方案。拥有优秀的团队协作和项目策划管理能力，承压能力强，适应多任务并行及出差；
6.在同类企业中架构师、产品经理等岗位工作累计2年及以上，熟悉火电企业燃料管理相关国家标准与行业规范，了解电力市场交易规则对燃料采购的影响；
7.具有较强的文档撰写能力和创新意识，在省部级以上期刊发表过论文或有国家发明专利授权。</t>
  </si>
  <si>
    <t>新兴业务事业部
产品经理</t>
  </si>
  <si>
    <t>1.负责电力现货交易业务线的产品战略规划，深度分析电力市场政策、行业趋势及竞品动态，结合公司整体目标，制定可落地的业务增长与市场拓展方案，确保产品在电力交易场景中的竞争力；
2.主导电力现货交易项目的售前技术支持与方案制定，牵头制定技术解决方案，确保方案贴合发电/售电侧客户在现货市场的实际业务场景；
3.主导电力现货交易类项目招投标工作，牵头编写技术标书，协调团队完成技术应答；
4.主导电力现货交易项目立项评估，明确项目范围、预算、时间节点及风险预案；
5.负责监管电力现货交易产品线所有项目，监控项目进度；
6.负责产品线项目预算与成本管控，对电力现货交易系统的费用进行估算与控制；
7.识别电力现货交易产品线项目风险，制定应对预案并动态更新；
8.主导电力现货交易业务线项目团队绩效评估；
9.主导项目结束后复盘会议，总结技术方案优劣势，形成改进计划并推动迭代。</t>
  </si>
  <si>
    <t>1.全日制本科及以上学历，硕士研究生及以上学历优先；
2.原则上，男性年龄不超过45周岁，女性年龄不超过40周岁；
3.5年以上To B/G（企业级/政府级）产品管理或项目交付经验，3年以上团队管理经验；具有电力现货交易系统、电力市场辅助决策系统或发电/售电侧信息化产品从0到1打造并实现商业化落地的成功案例者优先；
4.原则上应具有中级及以上专业技术资格、岗位所需的职业（执业）资格证书，或具备相应的专业能力；
5.具备注册公用设备工程师（动力）或注册咨询工程师资格证优先；具备电力系统自动化、电力交易原理知识背景者优先；
6.具备优秀的售前技术支持能力，能根据发电集团/售电公司在现货交易场景下的业务需求，快速输出技术解决方案；
7.精通电力信息化项目招投标全流程，擅长编写技术标书，熟悉电网/发电集团招标规范者优先；
8.具备经营思维，精通项目预算编制、成本估算及预算控制；善于识别项目中的风险，并能动态制定有效的应对预案。</t>
  </si>
  <si>
    <t>重庆市科源能源技术发展有限公司</t>
  </si>
  <si>
    <t>系统集成事业部
副经理</t>
  </si>
  <si>
    <t>1.负责项目安全、质量、进度、成本的全面管控；
2.掌握所在区域市场相关法律和政策，负责收集国内系统集成领域相关前沿动态和信息，并制定主要负责项目的开发、营销总体规划，推动项目落地；
3.建立并维护各相关方（政府、国家电网公司、设计院、合作企业及潜在客户）业务关系；
4.完成公司下达的年度经营任务目标；
5.协助部门经理管理部门事务，包括市场拓展、技术管理、项目管理、安全管理、团队管理等工作。</t>
  </si>
  <si>
    <t>1.全日制本科及以上学历，硕士研究生及以上学历优先；
2.原则上，男性年龄不超过45周岁，女性年龄不超过40周岁；
3.具有行业内知名企业通信、系统集成相关从业经历8年以上，专业年限满5年及以上，熟悉国家、行业有关政策法规；
4.原则上应具有中级及以上专业技术资格、岗位所需的职业（执业）资格证书，或具备相应的专业能力；
5.具备较高水平的传送网、数据网、二次安全防护等相关专业技术水平。</t>
  </si>
  <si>
    <t>重庆</t>
  </si>
  <si>
    <t>总合计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</si>
</sst>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黑体"/>
      <charset val="134"/>
    </font>
    <font>
      <sz val="18"/>
      <color theme="1"/>
      <name val="方正小标宋简体"/>
      <charset val="134"/>
    </font>
    <font>
      <sz val="18"/>
      <name val="方正小标宋简体"/>
      <charset val="134"/>
    </font>
    <font>
      <b/>
      <sz val="12"/>
      <color theme="1"/>
      <name val="Microsoft YaHei"/>
      <charset val="134"/>
    </font>
    <font>
      <b/>
      <sz val="12"/>
      <color rgb="FF000000"/>
      <name val="Microsoft YaHei"/>
      <charset val="134"/>
    </font>
    <font>
      <b/>
      <sz val="12"/>
      <name val="Microsoft YaHei"/>
      <charset val="134"/>
    </font>
    <font>
      <sz val="11"/>
      <color rgb="FF000000"/>
      <name val="仿宋_GB2312"/>
      <charset val="134"/>
    </font>
    <font>
      <sz val="11"/>
      <name val="仿宋_GB2312"/>
      <charset val="134"/>
    </font>
    <font>
      <sz val="11"/>
      <color theme="1"/>
      <name val="仿宋_GB2312"/>
      <charset val="134"/>
    </font>
    <font>
      <sz val="11"/>
      <color rgb="FFFF0000"/>
      <name val="仿宋_GB2312"/>
      <charset val="134"/>
    </font>
    <font>
      <sz val="11"/>
      <color rgb="FF00B0F0"/>
      <name val="仿宋_GB2312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justify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justify"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justify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justify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justify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justify" vertical="center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justify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4"/>
  <sheetViews>
    <sheetView tabSelected="1" view="pageBreakPreview" zoomScale="85" zoomScaleNormal="85" workbookViewId="0">
      <pane xSplit="1" ySplit="3" topLeftCell="C30" activePane="bottomRight" state="frozen"/>
      <selection/>
      <selection pane="topRight"/>
      <selection pane="bottomLeft"/>
      <selection pane="bottomRight" activeCell="D30" sqref="D30"/>
    </sheetView>
  </sheetViews>
  <sheetFormatPr defaultColWidth="8.88888888888889" defaultRowHeight="14.4" outlineLevelCol="7"/>
  <cols>
    <col min="1" max="1" width="7.05555555555556" style="3" customWidth="1"/>
    <col min="2" max="2" width="11.7592592592593" style="3" customWidth="1"/>
    <col min="3" max="3" width="16.0740740740741" style="4" customWidth="1"/>
    <col min="4" max="4" width="72.4166666666667" style="5" customWidth="1"/>
    <col min="5" max="5" width="70.5740740740741" style="6" customWidth="1"/>
    <col min="6" max="6" width="7.06481481481481" style="3" customWidth="1"/>
    <col min="7" max="7" width="8.88888888888889" style="4"/>
    <col min="8" max="16384" width="8.88888888888889" style="2"/>
  </cols>
  <sheetData>
    <row r="1" ht="20.4" spans="1:8">
      <c r="A1" s="7" t="s">
        <v>0</v>
      </c>
      <c r="B1" s="8"/>
    </row>
    <row r="2" ht="38" customHeight="1" spans="1:8">
      <c r="A2" s="9" t="s">
        <v>1</v>
      </c>
      <c r="B2" s="9"/>
      <c r="C2" s="10"/>
      <c r="D2" s="11"/>
      <c r="E2" s="12"/>
      <c r="F2" s="9"/>
      <c r="G2" s="10"/>
      <c r="H2" s="9"/>
    </row>
    <row r="3" ht="45" customHeight="1" spans="1:8">
      <c r="A3" s="13" t="s">
        <v>2</v>
      </c>
      <c r="B3" s="14" t="s">
        <v>3</v>
      </c>
      <c r="C3" s="13" t="s">
        <v>4</v>
      </c>
      <c r="D3" s="13" t="s">
        <v>5</v>
      </c>
      <c r="E3" s="15" t="s">
        <v>6</v>
      </c>
      <c r="F3" s="13" t="s">
        <v>7</v>
      </c>
      <c r="G3" s="13" t="s">
        <v>8</v>
      </c>
      <c r="H3" s="13" t="s">
        <v>9</v>
      </c>
    </row>
    <row r="4" s="1" customFormat="1" ht="198" customHeight="1" spans="1:8">
      <c r="A4" s="16">
        <v>1</v>
      </c>
      <c r="B4" s="16" t="s">
        <v>10</v>
      </c>
      <c r="C4" s="17" t="s">
        <v>11</v>
      </c>
      <c r="D4" s="18" t="s">
        <v>12</v>
      </c>
      <c r="E4" s="19" t="s">
        <v>13</v>
      </c>
      <c r="F4" s="20">
        <v>1</v>
      </c>
      <c r="G4" s="20" t="s">
        <v>14</v>
      </c>
      <c r="H4" s="16"/>
    </row>
    <row r="5" s="1" customFormat="1" ht="158.4" spans="1:8">
      <c r="A5" s="16">
        <v>2</v>
      </c>
      <c r="B5" s="16" t="s">
        <v>10</v>
      </c>
      <c r="C5" s="17" t="s">
        <v>15</v>
      </c>
      <c r="D5" s="18" t="s">
        <v>16</v>
      </c>
      <c r="E5" s="19" t="s">
        <v>17</v>
      </c>
      <c r="F5" s="20">
        <v>1</v>
      </c>
      <c r="G5" s="20" t="s">
        <v>14</v>
      </c>
      <c r="H5" s="16"/>
    </row>
    <row r="6" s="1" customFormat="1" ht="165" customHeight="1" spans="1:8">
      <c r="A6" s="16">
        <v>3</v>
      </c>
      <c r="B6" s="16" t="s">
        <v>10</v>
      </c>
      <c r="C6" s="17" t="s">
        <v>18</v>
      </c>
      <c r="D6" s="18" t="s">
        <v>19</v>
      </c>
      <c r="E6" s="19" t="s">
        <v>20</v>
      </c>
      <c r="F6" s="20">
        <v>2</v>
      </c>
      <c r="G6" s="20" t="s">
        <v>14</v>
      </c>
      <c r="H6" s="16"/>
    </row>
    <row r="7" s="1" customFormat="1" ht="115.2" spans="1:8">
      <c r="A7" s="16">
        <v>4</v>
      </c>
      <c r="B7" s="16" t="s">
        <v>10</v>
      </c>
      <c r="C7" s="17" t="s">
        <v>21</v>
      </c>
      <c r="D7" s="18" t="s">
        <v>22</v>
      </c>
      <c r="E7" s="19" t="s">
        <v>23</v>
      </c>
      <c r="F7" s="20">
        <v>1</v>
      </c>
      <c r="G7" s="20" t="s">
        <v>14</v>
      </c>
      <c r="H7" s="21"/>
    </row>
    <row r="8" s="1" customFormat="1" ht="144" spans="1:8">
      <c r="A8" s="16">
        <v>5</v>
      </c>
      <c r="B8" s="16" t="s">
        <v>10</v>
      </c>
      <c r="C8" s="17" t="s">
        <v>24</v>
      </c>
      <c r="D8" s="18" t="s">
        <v>25</v>
      </c>
      <c r="E8" s="19" t="s">
        <v>26</v>
      </c>
      <c r="F8" s="20">
        <v>1</v>
      </c>
      <c r="G8" s="20" t="s">
        <v>14</v>
      </c>
      <c r="H8" s="21"/>
    </row>
    <row r="9" s="1" customFormat="1" ht="30" customHeight="1" spans="1:8">
      <c r="A9" s="22" t="s">
        <v>27</v>
      </c>
      <c r="B9" s="23"/>
      <c r="C9" s="23"/>
      <c r="D9" s="24"/>
      <c r="E9" s="25"/>
      <c r="F9" s="26">
        <f>SUM(F4:F8)</f>
        <v>6</v>
      </c>
      <c r="G9" s="27"/>
      <c r="H9" s="26"/>
    </row>
    <row r="10" ht="182" customHeight="1" spans="1:8">
      <c r="A10" s="28">
        <v>1</v>
      </c>
      <c r="B10" s="29" t="s">
        <v>28</v>
      </c>
      <c r="C10" s="29" t="s">
        <v>29</v>
      </c>
      <c r="D10" s="30" t="s">
        <v>30</v>
      </c>
      <c r="E10" s="31" t="s">
        <v>31</v>
      </c>
      <c r="F10" s="32">
        <v>3</v>
      </c>
      <c r="G10" s="29" t="s">
        <v>14</v>
      </c>
      <c r="H10" s="33"/>
    </row>
    <row r="11" ht="160" customHeight="1" spans="1:8">
      <c r="A11" s="28">
        <v>2</v>
      </c>
      <c r="B11" s="29" t="s">
        <v>28</v>
      </c>
      <c r="C11" s="29" t="s">
        <v>32</v>
      </c>
      <c r="D11" s="30" t="s">
        <v>33</v>
      </c>
      <c r="E11" s="31" t="s">
        <v>34</v>
      </c>
      <c r="F11" s="29">
        <v>1</v>
      </c>
      <c r="G11" s="29" t="s">
        <v>14</v>
      </c>
      <c r="H11" s="33"/>
    </row>
    <row r="12" ht="172.8" spans="1:8">
      <c r="A12" s="28">
        <v>3</v>
      </c>
      <c r="B12" s="29" t="s">
        <v>28</v>
      </c>
      <c r="C12" s="29" t="s">
        <v>35</v>
      </c>
      <c r="D12" s="30" t="s">
        <v>36</v>
      </c>
      <c r="E12" s="31" t="s">
        <v>37</v>
      </c>
      <c r="F12" s="29">
        <v>1</v>
      </c>
      <c r="G12" s="29" t="s">
        <v>14</v>
      </c>
      <c r="H12" s="34"/>
    </row>
    <row r="13" ht="29" customHeight="1" spans="1:8">
      <c r="A13" s="35" t="s">
        <v>27</v>
      </c>
      <c r="B13" s="36"/>
      <c r="C13" s="36"/>
      <c r="D13" s="37"/>
      <c r="E13" s="38"/>
      <c r="F13" s="38">
        <f>SUM(F10:F12)</f>
        <v>5</v>
      </c>
      <c r="G13" s="39"/>
      <c r="H13" s="26"/>
    </row>
    <row r="14" ht="158.4" spans="1:8">
      <c r="A14" s="17">
        <v>1</v>
      </c>
      <c r="B14" s="17" t="s">
        <v>38</v>
      </c>
      <c r="C14" s="17" t="s">
        <v>39</v>
      </c>
      <c r="D14" s="40" t="s">
        <v>40</v>
      </c>
      <c r="E14" s="41" t="s">
        <v>41</v>
      </c>
      <c r="F14" s="17">
        <v>1</v>
      </c>
      <c r="G14" s="17" t="s">
        <v>14</v>
      </c>
      <c r="H14" s="17"/>
    </row>
    <row r="15" s="2" customFormat="1" ht="172.8" spans="1:8">
      <c r="A15" s="17">
        <v>2</v>
      </c>
      <c r="B15" s="17" t="s">
        <v>38</v>
      </c>
      <c r="C15" s="17" t="s">
        <v>42</v>
      </c>
      <c r="D15" s="40" t="s">
        <v>43</v>
      </c>
      <c r="E15" s="41" t="s">
        <v>44</v>
      </c>
      <c r="F15" s="17">
        <v>1</v>
      </c>
      <c r="G15" s="17" t="s">
        <v>45</v>
      </c>
      <c r="H15" s="17"/>
    </row>
    <row r="16" ht="110" customHeight="1" spans="1:8">
      <c r="A16" s="17">
        <v>3</v>
      </c>
      <c r="B16" s="17" t="s">
        <v>38</v>
      </c>
      <c r="C16" s="17" t="s">
        <v>46</v>
      </c>
      <c r="D16" s="40" t="s">
        <v>47</v>
      </c>
      <c r="E16" s="41" t="s">
        <v>48</v>
      </c>
      <c r="F16" s="17">
        <v>1</v>
      </c>
      <c r="G16" s="17" t="s">
        <v>14</v>
      </c>
      <c r="H16" s="17"/>
    </row>
    <row r="17" ht="86.4" spans="1:8">
      <c r="A17" s="17">
        <v>4</v>
      </c>
      <c r="B17" s="17" t="s">
        <v>38</v>
      </c>
      <c r="C17" s="17" t="s">
        <v>49</v>
      </c>
      <c r="D17" s="40" t="s">
        <v>50</v>
      </c>
      <c r="E17" s="41" t="s">
        <v>51</v>
      </c>
      <c r="F17" s="34">
        <v>1</v>
      </c>
      <c r="G17" s="17" t="s">
        <v>14</v>
      </c>
      <c r="H17" s="42"/>
    </row>
    <row r="18" ht="273.6" spans="1:8">
      <c r="A18" s="17">
        <v>5</v>
      </c>
      <c r="B18" s="17" t="s">
        <v>38</v>
      </c>
      <c r="C18" s="17" t="s">
        <v>52</v>
      </c>
      <c r="D18" s="40" t="s">
        <v>53</v>
      </c>
      <c r="E18" s="41" t="s">
        <v>54</v>
      </c>
      <c r="F18" s="17">
        <v>1</v>
      </c>
      <c r="G18" s="17" t="s">
        <v>14</v>
      </c>
      <c r="H18" s="42"/>
    </row>
    <row r="19" ht="86.4" spans="1:8">
      <c r="A19" s="17">
        <v>6</v>
      </c>
      <c r="B19" s="17" t="s">
        <v>38</v>
      </c>
      <c r="C19" s="17" t="s">
        <v>55</v>
      </c>
      <c r="D19" s="40" t="s">
        <v>56</v>
      </c>
      <c r="E19" s="41" t="s">
        <v>57</v>
      </c>
      <c r="F19" s="17">
        <v>1</v>
      </c>
      <c r="G19" s="17" t="s">
        <v>14</v>
      </c>
      <c r="H19" s="34"/>
    </row>
    <row r="20" ht="30" customHeight="1" spans="1:8">
      <c r="A20" s="43" t="s">
        <v>27</v>
      </c>
      <c r="B20" s="44"/>
      <c r="C20" s="44"/>
      <c r="D20" s="45"/>
      <c r="E20" s="25"/>
      <c r="F20" s="26">
        <f>SUM(F14:F19)</f>
        <v>6</v>
      </c>
      <c r="G20" s="27"/>
      <c r="H20" s="26"/>
    </row>
    <row r="21" ht="194" customHeight="1" spans="1:8">
      <c r="A21" s="17">
        <v>1</v>
      </c>
      <c r="B21" s="20" t="s">
        <v>58</v>
      </c>
      <c r="C21" s="20" t="s">
        <v>59</v>
      </c>
      <c r="D21" s="46" t="s">
        <v>60</v>
      </c>
      <c r="E21" s="41" t="s">
        <v>61</v>
      </c>
      <c r="F21" s="34">
        <v>2</v>
      </c>
      <c r="G21" s="29" t="s">
        <v>14</v>
      </c>
      <c r="H21" s="42"/>
    </row>
    <row r="22" ht="188" customHeight="1" spans="1:8">
      <c r="A22" s="17">
        <v>2</v>
      </c>
      <c r="B22" s="20" t="s">
        <v>58</v>
      </c>
      <c r="C22" s="20" t="s">
        <v>62</v>
      </c>
      <c r="D22" s="46" t="s">
        <v>63</v>
      </c>
      <c r="E22" s="41" t="s">
        <v>51</v>
      </c>
      <c r="F22" s="34">
        <v>2</v>
      </c>
      <c r="G22" s="17" t="s">
        <v>64</v>
      </c>
      <c r="H22" s="47"/>
    </row>
    <row r="23" ht="158" customHeight="1" spans="1:8">
      <c r="A23" s="17">
        <v>4</v>
      </c>
      <c r="B23" s="20" t="s">
        <v>58</v>
      </c>
      <c r="C23" s="20" t="s">
        <v>65</v>
      </c>
      <c r="D23" s="46" t="s">
        <v>66</v>
      </c>
      <c r="E23" s="41" t="s">
        <v>51</v>
      </c>
      <c r="F23" s="34">
        <v>1</v>
      </c>
      <c r="G23" s="17" t="s">
        <v>64</v>
      </c>
      <c r="H23" s="42"/>
    </row>
    <row r="24" ht="29" customHeight="1" spans="1:8">
      <c r="A24" s="48" t="s">
        <v>27</v>
      </c>
      <c r="B24" s="49"/>
      <c r="C24" s="49"/>
      <c r="D24" s="50"/>
      <c r="E24" s="51"/>
      <c r="F24" s="26">
        <f>SUM(F21:F23)</f>
        <v>5</v>
      </c>
      <c r="G24" s="27"/>
      <c r="H24" s="27"/>
    </row>
    <row r="25" ht="157" customHeight="1" spans="1:8">
      <c r="A25" s="17">
        <v>1</v>
      </c>
      <c r="B25" s="20" t="s">
        <v>67</v>
      </c>
      <c r="C25" s="17" t="s">
        <v>68</v>
      </c>
      <c r="D25" s="46" t="s">
        <v>69</v>
      </c>
      <c r="E25" s="41" t="s">
        <v>70</v>
      </c>
      <c r="F25" s="34">
        <v>2</v>
      </c>
      <c r="G25" s="29" t="s">
        <v>14</v>
      </c>
      <c r="H25" s="52"/>
    </row>
    <row r="26" ht="201" customHeight="1" spans="1:8">
      <c r="A26" s="17">
        <v>2</v>
      </c>
      <c r="B26" s="20" t="s">
        <v>67</v>
      </c>
      <c r="C26" s="20" t="s">
        <v>71</v>
      </c>
      <c r="D26" s="46" t="s">
        <v>72</v>
      </c>
      <c r="E26" s="41" t="s">
        <v>51</v>
      </c>
      <c r="F26" s="34">
        <v>1</v>
      </c>
      <c r="G26" s="29" t="s">
        <v>14</v>
      </c>
      <c r="H26" s="34"/>
    </row>
    <row r="27" ht="26" customHeight="1" spans="1:8">
      <c r="A27" s="48" t="s">
        <v>27</v>
      </c>
      <c r="B27" s="49"/>
      <c r="C27" s="49"/>
      <c r="D27" s="50"/>
      <c r="E27" s="53"/>
      <c r="F27" s="26">
        <f>SUM(F25:F26)</f>
        <v>3</v>
      </c>
      <c r="G27" s="27"/>
      <c r="H27" s="26"/>
    </row>
    <row r="28" ht="219" customHeight="1" spans="1:8">
      <c r="A28" s="54">
        <v>1</v>
      </c>
      <c r="B28" s="54" t="s">
        <v>73</v>
      </c>
      <c r="C28" s="52" t="s">
        <v>74</v>
      </c>
      <c r="D28" s="55" t="s">
        <v>75</v>
      </c>
      <c r="E28" s="41" t="s">
        <v>76</v>
      </c>
      <c r="F28" s="54">
        <v>1</v>
      </c>
      <c r="G28" s="52" t="s">
        <v>77</v>
      </c>
      <c r="H28" s="54"/>
    </row>
    <row r="29" ht="219" customHeight="1" spans="1:8">
      <c r="A29" s="54">
        <v>2</v>
      </c>
      <c r="B29" s="54" t="s">
        <v>73</v>
      </c>
      <c r="C29" s="52" t="s">
        <v>78</v>
      </c>
      <c r="D29" s="55" t="s">
        <v>79</v>
      </c>
      <c r="E29" s="41" t="s">
        <v>80</v>
      </c>
      <c r="F29" s="54">
        <v>1</v>
      </c>
      <c r="G29" s="52" t="s">
        <v>14</v>
      </c>
      <c r="H29" s="56"/>
    </row>
    <row r="30" ht="202" customHeight="1" spans="1:8">
      <c r="A30" s="54">
        <v>3</v>
      </c>
      <c r="B30" s="54" t="s">
        <v>73</v>
      </c>
      <c r="C30" s="17" t="s">
        <v>81</v>
      </c>
      <c r="D30" s="55" t="s">
        <v>82</v>
      </c>
      <c r="E30" s="41" t="s">
        <v>83</v>
      </c>
      <c r="F30" s="54">
        <v>1</v>
      </c>
      <c r="G30" s="54" t="s">
        <v>77</v>
      </c>
      <c r="H30" s="54"/>
    </row>
    <row r="31" ht="250" customHeight="1" spans="1:8">
      <c r="A31" s="54">
        <v>4</v>
      </c>
      <c r="B31" s="54" t="s">
        <v>73</v>
      </c>
      <c r="C31" s="17" t="s">
        <v>84</v>
      </c>
      <c r="D31" s="55" t="s">
        <v>85</v>
      </c>
      <c r="E31" s="41" t="s">
        <v>86</v>
      </c>
      <c r="F31" s="54">
        <v>1</v>
      </c>
      <c r="G31" s="54" t="s">
        <v>77</v>
      </c>
      <c r="H31" s="54"/>
    </row>
    <row r="32" ht="26" customHeight="1" spans="1:8">
      <c r="A32" s="57" t="s">
        <v>27</v>
      </c>
      <c r="B32" s="58"/>
      <c r="C32" s="58"/>
      <c r="D32" s="59"/>
      <c r="E32" s="51"/>
      <c r="F32" s="60">
        <f>SUM(F28:F31)</f>
        <v>4</v>
      </c>
      <c r="G32" s="25"/>
      <c r="H32" s="60"/>
    </row>
    <row r="33" ht="144" customHeight="1" spans="1:8">
      <c r="A33" s="34">
        <v>1</v>
      </c>
      <c r="B33" s="20" t="s">
        <v>87</v>
      </c>
      <c r="C33" s="20" t="s">
        <v>88</v>
      </c>
      <c r="D33" s="46" t="s">
        <v>89</v>
      </c>
      <c r="E33" s="41" t="s">
        <v>90</v>
      </c>
      <c r="F33" s="34">
        <v>1</v>
      </c>
      <c r="G33" s="34" t="s">
        <v>91</v>
      </c>
      <c r="H33" s="33"/>
    </row>
    <row r="34" ht="28" customHeight="1" spans="1:8">
      <c r="A34" s="27" t="s">
        <v>92</v>
      </c>
      <c r="B34" s="27"/>
      <c r="C34" s="27"/>
      <c r="D34" s="61"/>
      <c r="E34" s="17"/>
      <c r="F34" s="26">
        <f>F9+F13+F20+F24+F27+F32+F33</f>
        <v>30</v>
      </c>
      <c r="G34" s="27"/>
      <c r="H34" s="26"/>
    </row>
  </sheetData>
  <autoFilter xmlns:etc="http://www.wps.cn/officeDocument/2017/etCustomData" ref="A3:H34" etc:filterBottomFollowUsedRange="0">
    <extLst/>
  </autoFilter>
  <mergeCells count="8">
    <mergeCell ref="A2:H2"/>
    <mergeCell ref="A9:D9"/>
    <mergeCell ref="A13:D13"/>
    <mergeCell ref="A20:D20"/>
    <mergeCell ref="A24:D24"/>
    <mergeCell ref="A27:D27"/>
    <mergeCell ref="A32:D32"/>
    <mergeCell ref="A34:E34"/>
  </mergeCells>
  <pageMargins left="0.750694444444444" right="0.750694444444444" top="1" bottom="1" header="0.5" footer="0.5"/>
  <pageSetup paperSize="8" scale="96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孙营</dc:creator>
  <cp:lastModifiedBy>孙营</cp:lastModifiedBy>
  <dcterms:created xsi:type="dcterms:W3CDTF">2026-03-10T06:00:00Z</dcterms:created>
  <dcterms:modified xsi:type="dcterms:W3CDTF">2026-05-15T06:33:48Z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B2E854FC9B244B3C85549B1A3F9F106E_13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